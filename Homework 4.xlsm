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Users\Nick\OneDrive\Documents\ISM6405_Business_Analytics\Homework 4\"/>
    </mc:Choice>
  </mc:AlternateContent>
  <bookViews>
    <workbookView xWindow="120" yWindow="120" windowWidth="15120" windowHeight="8010" activeTab="4"/>
  </bookViews>
  <sheets>
    <sheet name="Documentation" sheetId="3" r:id="rId1"/>
    <sheet name="HW4 Q1" sheetId="2" r:id="rId2"/>
    <sheet name="HW4 Q2" sheetId="4" r:id="rId3"/>
    <sheet name="HW4 Q3" sheetId="5" r:id="rId4"/>
    <sheet name="Travel Expenses" sheetId="7" r:id="rId5"/>
  </sheets>
  <definedNames>
    <definedName name="CashFlow">'HW4 Q3'!$C$4:$C$7</definedName>
    <definedName name="Years">'HW4 Q3'!$B$4:$B$7</definedName>
  </definedNames>
  <calcPr calcId="171027"/>
</workbook>
</file>

<file path=xl/calcChain.xml><?xml version="1.0" encoding="utf-8"?>
<calcChain xmlns="http://schemas.openxmlformats.org/spreadsheetml/2006/main">
  <c r="C9" i="5" l="1"/>
  <c r="C9" i="4"/>
  <c r="I13" i="2"/>
  <c r="I12" i="2"/>
  <c r="I11" i="2"/>
  <c r="I10" i="2"/>
  <c r="I9" i="2"/>
  <c r="I8" i="2"/>
  <c r="I7" i="2"/>
  <c r="I6" i="2"/>
  <c r="H13" i="2"/>
  <c r="H12" i="2"/>
  <c r="H11" i="2"/>
  <c r="H10" i="2"/>
  <c r="H9" i="2"/>
  <c r="H8" i="2"/>
  <c r="H7" i="2"/>
  <c r="H6" i="2"/>
  <c r="F13" i="2" l="1"/>
  <c r="F12" i="2"/>
  <c r="F11" i="2"/>
  <c r="F10" i="2"/>
  <c r="F9" i="2"/>
  <c r="F8" i="2"/>
  <c r="F7" i="2"/>
  <c r="F6" i="2"/>
  <c r="E13" i="2"/>
  <c r="E12" i="2"/>
  <c r="E11" i="2"/>
  <c r="E10" i="2"/>
  <c r="E9" i="2"/>
  <c r="E8" i="2"/>
  <c r="E7" i="2"/>
  <c r="E6" i="2"/>
  <c r="G13" i="2"/>
  <c r="G12" i="2"/>
  <c r="G11" i="2"/>
  <c r="G10" i="2"/>
  <c r="G9" i="2"/>
  <c r="G8" i="2"/>
  <c r="G7" i="2"/>
  <c r="G6" i="2"/>
  <c r="D13" i="2"/>
  <c r="D12" i="2"/>
  <c r="D11" i="2"/>
  <c r="D10" i="2"/>
  <c r="D9" i="2"/>
  <c r="D8" i="2"/>
  <c r="D7" i="2"/>
  <c r="C13" i="2"/>
  <c r="C12" i="2"/>
  <c r="C11" i="2"/>
  <c r="C10" i="2"/>
  <c r="C9" i="2"/>
  <c r="C8" i="2"/>
  <c r="C7" i="2"/>
  <c r="C6" i="2"/>
  <c r="D6" i="2"/>
  <c r="B8" i="3"/>
</calcChain>
</file>

<file path=xl/sharedStrings.xml><?xml version="1.0" encoding="utf-8"?>
<sst xmlns="http://schemas.openxmlformats.org/spreadsheetml/2006/main" count="39" uniqueCount="39">
  <si>
    <t>Yellow</t>
  </si>
  <si>
    <t>XYZ Corp bought a Red Widgit from Vendor 1 on 41026 and sold it to Vendor 12 on 41508</t>
  </si>
  <si>
    <t>XYZ Corp bought a Blue Widgit from Vendor 2 on 41244 and sold it to Vendor 11 on 41886</t>
  </si>
  <si>
    <t>XYZ Corp bought a Green Widgit from Vendor 3 on 41485 and sold it to Vendor 10 on 42137</t>
  </si>
  <si>
    <t>XYZ Corp bought a Purple Widgit from Vendor 4 on 41465 and sold it to Vendor 9 on 42078</t>
  </si>
  <si>
    <t>XYZ Corp bought a Orange Widgit from Vendor 5 on 43786 and sold it to Vendor 8 on 44764</t>
  </si>
  <si>
    <t>XYZ Corp bought a Yellow Widgit from Vendor 6 on 43832 and sold it to Vendor 7 on 45110</t>
  </si>
  <si>
    <t>XYZ Corp bought a Red Widgit from Vendor 7 on 42753 and sold it to Vendor 6 on 44230</t>
  </si>
  <si>
    <t>XYZ Corp bought a Blue Widgit from Vendor 8 on 43379 and sold it to Vendor 5 on 44568</t>
  </si>
  <si>
    <t>Widgit Type</t>
  </si>
  <si>
    <t>Date Purchased</t>
  </si>
  <si>
    <t>Date Sold</t>
  </si>
  <si>
    <t>Months Kept</t>
  </si>
  <si>
    <t>Years Kept</t>
  </si>
  <si>
    <t>Bought from Vendor Number</t>
  </si>
  <si>
    <t>Sold to Vendor Number</t>
  </si>
  <si>
    <t>Sample Results</t>
  </si>
  <si>
    <t>Created by:</t>
  </si>
  <si>
    <t>Nick Petty</t>
  </si>
  <si>
    <t>Date begun:</t>
  </si>
  <si>
    <t>Date completed:</t>
  </si>
  <si>
    <t>ISM 6405 Homework Assignment 4</t>
  </si>
  <si>
    <t>Start date</t>
  </si>
  <si>
    <t>End date</t>
  </si>
  <si>
    <t>Work days in period</t>
  </si>
  <si>
    <t>Independence Day</t>
  </si>
  <si>
    <t>Labor Day</t>
  </si>
  <si>
    <t>Memorial Day</t>
  </si>
  <si>
    <t>Year</t>
  </si>
  <si>
    <t>Cash Flow</t>
  </si>
  <si>
    <t>Net Present Value</t>
  </si>
  <si>
    <t>Rate</t>
  </si>
  <si>
    <t>firstName</t>
  </si>
  <si>
    <t>lastName</t>
  </si>
  <si>
    <t>nMiles</t>
  </si>
  <si>
    <t>milesPerGallon</t>
  </si>
  <si>
    <t>avgPrice</t>
  </si>
  <si>
    <t>tripCost</t>
  </si>
  <si>
    <t>displayMessage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</si>
</sst>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$&quot;#,##0.00;[Red]\-&quot;$&quot;#,##0.00"/>
    <numFmt numFmtId="164" formatCode="_-[$$-409]* #,##0.00_ ;_-[$$-409]* \-#,##0.00\ ;_-[$$-409]* &quot;-&quot;??_ ;_-@_ 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14" fontId="0" fillId="0" borderId="0" xfId="0" applyNumberFormat="1"/>
    <xf numFmtId="0" fontId="0" fillId="0" borderId="0" xfId="0" applyAlignment="1">
      <alignment vertical="center"/>
    </xf>
    <xf numFmtId="0" fontId="0" fillId="0" borderId="2" xfId="0" applyBorder="1"/>
    <xf numFmtId="14" fontId="0" fillId="0" borderId="3" xfId="0" applyNumberFormat="1" applyBorder="1"/>
    <xf numFmtId="0" fontId="0" fillId="0" borderId="3" xfId="0" applyBorder="1"/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4" xfId="0" applyNumberFormat="1" applyBorder="1" applyAlignment="1">
      <alignment vertical="center"/>
    </xf>
    <xf numFmtId="0" fontId="0" fillId="0" borderId="5" xfId="0" applyBorder="1" applyAlignment="1">
      <alignment horizontal="center" vertical="center"/>
    </xf>
    <xf numFmtId="164" fontId="0" fillId="0" borderId="5" xfId="0" applyNumberFormat="1" applyBorder="1" applyAlignment="1">
      <alignment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vertical="center"/>
    </xf>
    <xf numFmtId="8" fontId="0" fillId="0" borderId="3" xfId="0" applyNumberFormat="1" applyBorder="1" applyAlignment="1">
      <alignment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185737</xdr:rowOff>
        </xdr:from>
        <xdr:to>
          <xdr:col>9</xdr:col>
          <xdr:colOff>9525</xdr:colOff>
          <xdr:row>4</xdr:row>
          <xdr:rowOff>185737</xdr:rowOff>
        </xdr:to>
        <xdr:grpSp>
          <xdr:nvGrpSpPr>
            <xdr:cNvPr id="2" name="Group 1"/>
            <xdr:cNvGrpSpPr/>
          </xdr:nvGrpSpPr>
          <xdr:grpSpPr>
            <a:xfrm>
              <a:off x="2838450" y="376237"/>
              <a:ext cx="3057525" cy="571500"/>
              <a:chOff x="3448050" y="319087"/>
              <a:chExt cx="3057525" cy="57150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 bwMode="auto">
              <a:xfrm>
                <a:off x="3448050" y="319088"/>
                <a:ext cx="1219200" cy="5714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Run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5286375" y="319087"/>
                <a:ext cx="1219200" cy="5715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Reset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B8"/>
  <sheetViews>
    <sheetView workbookViewId="0"/>
  </sheetViews>
  <sheetFormatPr defaultRowHeight="15" x14ac:dyDescent="0.25"/>
  <cols>
    <col min="1" max="1" width="15.85546875" bestFit="1" customWidth="1"/>
    <col min="2" max="2" width="10" bestFit="1" customWidth="1"/>
  </cols>
  <sheetData>
    <row r="4" spans="1:2" ht="30.75" customHeight="1" x14ac:dyDescent="0.25">
      <c r="A4" s="17" t="s">
        <v>21</v>
      </c>
      <c r="B4" s="17"/>
    </row>
    <row r="6" spans="1:2" x14ac:dyDescent="0.25">
      <c r="A6" t="s">
        <v>17</v>
      </c>
      <c r="B6" t="s">
        <v>18</v>
      </c>
    </row>
    <row r="7" spans="1:2" x14ac:dyDescent="0.25">
      <c r="A7" t="s">
        <v>19</v>
      </c>
      <c r="B7" s="4">
        <v>42527</v>
      </c>
    </row>
    <row r="8" spans="1:2" x14ac:dyDescent="0.25">
      <c r="A8" t="s">
        <v>20</v>
      </c>
      <c r="B8" s="4">
        <f ca="1">TODAY()</f>
        <v>42529</v>
      </c>
    </row>
  </sheetData>
  <mergeCells count="1">
    <mergeCell ref="A4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25"/>
  <sheetViews>
    <sheetView workbookViewId="0"/>
  </sheetViews>
  <sheetFormatPr defaultRowHeight="15" x14ac:dyDescent="0.25"/>
  <cols>
    <col min="1" max="1" width="82.140625" bestFit="1" customWidth="1"/>
    <col min="5" max="5" width="11.28515625" customWidth="1"/>
    <col min="6" max="7" width="10.42578125" customWidth="1"/>
  </cols>
  <sheetData>
    <row r="3" spans="1:9" s="1" customFormat="1" ht="60" x14ac:dyDescent="0.25">
      <c r="C3" s="1" t="s">
        <v>9</v>
      </c>
      <c r="D3" s="1" t="s">
        <v>14</v>
      </c>
      <c r="E3" s="1" t="s">
        <v>10</v>
      </c>
      <c r="F3" s="1" t="s">
        <v>11</v>
      </c>
      <c r="G3" s="1" t="s">
        <v>15</v>
      </c>
      <c r="H3" s="1" t="s">
        <v>12</v>
      </c>
      <c r="I3" s="1" t="s">
        <v>13</v>
      </c>
    </row>
    <row r="4" spans="1:9" s="1" customFormat="1" x14ac:dyDescent="0.25">
      <c r="A4" s="1" t="s">
        <v>16</v>
      </c>
      <c r="C4" s="2" t="s">
        <v>0</v>
      </c>
      <c r="D4" s="2">
        <v>3</v>
      </c>
      <c r="E4" s="3">
        <v>40878</v>
      </c>
      <c r="F4" s="3">
        <v>41886</v>
      </c>
      <c r="G4" s="2">
        <v>4</v>
      </c>
      <c r="H4" s="2">
        <v>33</v>
      </c>
      <c r="I4" s="2">
        <v>2</v>
      </c>
    </row>
    <row r="5" spans="1:9" s="1" customFormat="1" x14ac:dyDescent="0.25">
      <c r="C5" s="2"/>
      <c r="D5" s="2"/>
      <c r="E5" s="3"/>
      <c r="F5" s="3"/>
      <c r="G5" s="2"/>
      <c r="H5" s="2"/>
      <c r="I5" s="2"/>
    </row>
    <row r="6" spans="1:9" x14ac:dyDescent="0.25">
      <c r="A6" t="s">
        <v>1</v>
      </c>
      <c r="C6" s="18" t="str">
        <f>MID($A6,FIND("a ",$A6)+LEN("a "),FIND(" Widgit",$A6)-(FIND("a ",$A6)+LEN("a ")))</f>
        <v>Red</v>
      </c>
      <c r="D6" s="18" t="str">
        <f>MID($A6,FIND("from Vendor ",$A6)+LEN("from Vendor "),FIND(" on",$A6)-(FIND("from Vendor ",$A6)+LEN("from Vendor ")))</f>
        <v>1</v>
      </c>
      <c r="E6" s="19">
        <f>DATE(1900,1,1) + MID($A6,FIND("on ",$A6)+LEN("on "),FIND(" and",$A6)-(FIND("on ",$A6)+LEN(" on"))) - 1</f>
        <v>41026</v>
      </c>
      <c r="F6" s="19">
        <f>DATE(1900,1,1)+RIGHT($A6, 5)-1</f>
        <v>41508</v>
      </c>
      <c r="G6" s="18" t="str">
        <f>MID($A6,FIND("to Vendor ",$A6)+LEN("to Vendor "),FIND(" on",$A6, FIND("to Vendor ",$A6))-(FIND("to Vendor ",$A6)+LEN("to Vendor ")))</f>
        <v>12</v>
      </c>
      <c r="H6" s="18">
        <f>DATEDIF($E6,$F6,"m")</f>
        <v>15</v>
      </c>
      <c r="I6" s="18">
        <f>DATEDIF($E6,$F6,"y")</f>
        <v>1</v>
      </c>
    </row>
    <row r="7" spans="1:9" x14ac:dyDescent="0.25">
      <c r="A7" t="s">
        <v>2</v>
      </c>
      <c r="C7" s="18" t="str">
        <f t="shared" ref="C7:C13" si="0">MID($A7,FIND("a ",$A7)+LEN("a "),FIND(" Widgit",$A7)-(FIND("a ",$A7)+LEN("a ")))</f>
        <v>Blue</v>
      </c>
      <c r="D7" s="18" t="str">
        <f t="shared" ref="D7:D13" si="1">MID($A7,FIND("from Vendor ",$A7)+LEN("from Vendor "),FIND(" on",$A7)-(FIND("from Vendor ",$A7)+LEN("from Vendor ")))</f>
        <v>2</v>
      </c>
      <c r="E7" s="19">
        <f t="shared" ref="E7:E13" si="2">DATE(1900,1,1) + MID($A7,FIND("on ",$A7)+LEN("on "),FIND(" and",$A7)-(FIND("on ",$A7)+LEN(" on"))) - 1</f>
        <v>41244</v>
      </c>
      <c r="F7" s="19">
        <f t="shared" ref="F7:F13" si="3">DATE(1900,1,1)+RIGHT($A7, 5)-1</f>
        <v>41886</v>
      </c>
      <c r="G7" s="18" t="str">
        <f t="shared" ref="G7:G13" si="4">MID($A7,FIND("to Vendor ",$A7)+LEN("to Vendor "),FIND(" on",$A7, FIND("to Vendor ",$A7))-(FIND("to Vendor ",$A7)+LEN("to Vendor ")))</f>
        <v>11</v>
      </c>
      <c r="H7" s="18">
        <f t="shared" ref="H7:H13" si="5">DATEDIF($E7,$F7,"m")</f>
        <v>21</v>
      </c>
      <c r="I7" s="18">
        <f t="shared" ref="I7:I13" si="6">DATEDIF($E7,$F7,"y")</f>
        <v>1</v>
      </c>
    </row>
    <row r="8" spans="1:9" x14ac:dyDescent="0.25">
      <c r="A8" t="s">
        <v>3</v>
      </c>
      <c r="C8" s="18" t="str">
        <f t="shared" si="0"/>
        <v>Green</v>
      </c>
      <c r="D8" s="18" t="str">
        <f t="shared" si="1"/>
        <v>3</v>
      </c>
      <c r="E8" s="19">
        <f t="shared" si="2"/>
        <v>41485</v>
      </c>
      <c r="F8" s="19">
        <f t="shared" si="3"/>
        <v>42137</v>
      </c>
      <c r="G8" s="18" t="str">
        <f t="shared" si="4"/>
        <v>10</v>
      </c>
      <c r="H8" s="18">
        <f t="shared" si="5"/>
        <v>21</v>
      </c>
      <c r="I8" s="18">
        <f t="shared" si="6"/>
        <v>1</v>
      </c>
    </row>
    <row r="9" spans="1:9" x14ac:dyDescent="0.25">
      <c r="A9" t="s">
        <v>4</v>
      </c>
      <c r="C9" s="18" t="str">
        <f t="shared" si="0"/>
        <v>Purple</v>
      </c>
      <c r="D9" s="18" t="str">
        <f t="shared" si="1"/>
        <v>4</v>
      </c>
      <c r="E9" s="19">
        <f t="shared" si="2"/>
        <v>41465</v>
      </c>
      <c r="F9" s="19">
        <f t="shared" si="3"/>
        <v>42078</v>
      </c>
      <c r="G9" s="18" t="str">
        <f t="shared" si="4"/>
        <v>9</v>
      </c>
      <c r="H9" s="18">
        <f t="shared" si="5"/>
        <v>20</v>
      </c>
      <c r="I9" s="18">
        <f t="shared" si="6"/>
        <v>1</v>
      </c>
    </row>
    <row r="10" spans="1:9" x14ac:dyDescent="0.25">
      <c r="A10" t="s">
        <v>5</v>
      </c>
      <c r="C10" s="18" t="str">
        <f t="shared" si="0"/>
        <v>Orange</v>
      </c>
      <c r="D10" s="18" t="str">
        <f t="shared" si="1"/>
        <v>5</v>
      </c>
      <c r="E10" s="19">
        <f t="shared" si="2"/>
        <v>43786</v>
      </c>
      <c r="F10" s="19">
        <f t="shared" si="3"/>
        <v>44764</v>
      </c>
      <c r="G10" s="18" t="str">
        <f t="shared" si="4"/>
        <v>8</v>
      </c>
      <c r="H10" s="18">
        <f t="shared" si="5"/>
        <v>32</v>
      </c>
      <c r="I10" s="18">
        <f t="shared" si="6"/>
        <v>2</v>
      </c>
    </row>
    <row r="11" spans="1:9" x14ac:dyDescent="0.25">
      <c r="A11" t="s">
        <v>6</v>
      </c>
      <c r="C11" s="18" t="str">
        <f t="shared" si="0"/>
        <v>Yellow</v>
      </c>
      <c r="D11" s="18" t="str">
        <f t="shared" si="1"/>
        <v>6</v>
      </c>
      <c r="E11" s="19">
        <f t="shared" si="2"/>
        <v>43832</v>
      </c>
      <c r="F11" s="19">
        <f t="shared" si="3"/>
        <v>45110</v>
      </c>
      <c r="G11" s="18" t="str">
        <f t="shared" si="4"/>
        <v>7</v>
      </c>
      <c r="H11" s="18">
        <f t="shared" si="5"/>
        <v>42</v>
      </c>
      <c r="I11" s="18">
        <f t="shared" si="6"/>
        <v>3</v>
      </c>
    </row>
    <row r="12" spans="1:9" x14ac:dyDescent="0.25">
      <c r="A12" t="s">
        <v>7</v>
      </c>
      <c r="C12" s="18" t="str">
        <f t="shared" si="0"/>
        <v>Red</v>
      </c>
      <c r="D12" s="18" t="str">
        <f t="shared" si="1"/>
        <v>7</v>
      </c>
      <c r="E12" s="19">
        <f t="shared" si="2"/>
        <v>42753</v>
      </c>
      <c r="F12" s="19">
        <f t="shared" si="3"/>
        <v>44230</v>
      </c>
      <c r="G12" s="18" t="str">
        <f t="shared" si="4"/>
        <v>6</v>
      </c>
      <c r="H12" s="18">
        <f t="shared" si="5"/>
        <v>48</v>
      </c>
      <c r="I12" s="18">
        <f t="shared" si="6"/>
        <v>4</v>
      </c>
    </row>
    <row r="13" spans="1:9" x14ac:dyDescent="0.25">
      <c r="A13" t="s">
        <v>8</v>
      </c>
      <c r="C13" s="18" t="str">
        <f t="shared" si="0"/>
        <v>Blue</v>
      </c>
      <c r="D13" s="18" t="str">
        <f t="shared" si="1"/>
        <v>8</v>
      </c>
      <c r="E13" s="19">
        <f t="shared" si="2"/>
        <v>43379</v>
      </c>
      <c r="F13" s="19">
        <f t="shared" si="3"/>
        <v>44568</v>
      </c>
      <c r="G13" s="18" t="str">
        <f t="shared" si="4"/>
        <v>5</v>
      </c>
      <c r="H13" s="18">
        <f t="shared" si="5"/>
        <v>39</v>
      </c>
      <c r="I13" s="18">
        <f t="shared" si="6"/>
        <v>3</v>
      </c>
    </row>
    <row r="25" spans="6:6" x14ac:dyDescent="0.25">
      <c r="F25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C9"/>
  <sheetViews>
    <sheetView workbookViewId="0"/>
  </sheetViews>
  <sheetFormatPr defaultRowHeight="15" x14ac:dyDescent="0.25"/>
  <cols>
    <col min="2" max="2" width="18.85546875" bestFit="1" customWidth="1"/>
    <col min="3" max="3" width="7.7109375" bestFit="1" customWidth="1"/>
  </cols>
  <sheetData>
    <row r="3" spans="2:3" x14ac:dyDescent="0.25">
      <c r="B3" s="6" t="s">
        <v>22</v>
      </c>
      <c r="C3" s="7">
        <v>42136</v>
      </c>
    </row>
    <row r="4" spans="2:3" x14ac:dyDescent="0.25">
      <c r="B4" s="6" t="s">
        <v>23</v>
      </c>
      <c r="C4" s="7">
        <v>42258</v>
      </c>
    </row>
    <row r="5" spans="2:3" x14ac:dyDescent="0.25">
      <c r="B5" s="6" t="s">
        <v>27</v>
      </c>
      <c r="C5" s="7">
        <v>42149</v>
      </c>
    </row>
    <row r="6" spans="2:3" x14ac:dyDescent="0.25">
      <c r="B6" s="6" t="s">
        <v>25</v>
      </c>
      <c r="C6" s="7">
        <v>42189</v>
      </c>
    </row>
    <row r="7" spans="2:3" x14ac:dyDescent="0.25">
      <c r="B7" s="6" t="s">
        <v>26</v>
      </c>
      <c r="C7" s="7">
        <v>42254</v>
      </c>
    </row>
    <row r="9" spans="2:3" x14ac:dyDescent="0.25">
      <c r="B9" s="6" t="s">
        <v>24</v>
      </c>
      <c r="C9" s="8">
        <f>NETWORKDAYS(C3,C4,C5:C7)</f>
        <v>87</v>
      </c>
    </row>
  </sheetData>
  <pageMargins left="0.7" right="0.7" top="0.75" bottom="0.75" header="0.3" footer="0.3"/>
  <pageSetup paperSize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C9"/>
  <sheetViews>
    <sheetView workbookViewId="0"/>
  </sheetViews>
  <sheetFormatPr defaultRowHeight="15" x14ac:dyDescent="0.25"/>
  <cols>
    <col min="1" max="1" width="9.140625" style="5"/>
    <col min="2" max="2" width="17.42578125" style="5" bestFit="1" customWidth="1"/>
    <col min="3" max="3" width="10.7109375" style="5" customWidth="1"/>
    <col min="4" max="16384" width="9.140625" style="5"/>
  </cols>
  <sheetData>
    <row r="3" spans="2:3" x14ac:dyDescent="0.25">
      <c r="B3" s="9" t="s">
        <v>28</v>
      </c>
      <c r="C3" s="9" t="s">
        <v>29</v>
      </c>
    </row>
    <row r="4" spans="2:3" x14ac:dyDescent="0.25">
      <c r="B4" s="10">
        <v>1</v>
      </c>
      <c r="C4" s="11">
        <v>-600</v>
      </c>
    </row>
    <row r="5" spans="2:3" x14ac:dyDescent="0.25">
      <c r="B5" s="12">
        <v>2</v>
      </c>
      <c r="C5" s="13">
        <v>550</v>
      </c>
    </row>
    <row r="6" spans="2:3" x14ac:dyDescent="0.25">
      <c r="B6" s="12">
        <v>3</v>
      </c>
      <c r="C6" s="13">
        <v>-680</v>
      </c>
    </row>
    <row r="7" spans="2:3" x14ac:dyDescent="0.25">
      <c r="B7" s="12">
        <v>4</v>
      </c>
      <c r="C7" s="13">
        <v>1000</v>
      </c>
    </row>
    <row r="8" spans="2:3" x14ac:dyDescent="0.25">
      <c r="B8" s="14" t="s">
        <v>31</v>
      </c>
      <c r="C8" s="15">
        <v>0.15</v>
      </c>
    </row>
    <row r="9" spans="2:3" x14ac:dyDescent="0.25">
      <c r="B9" s="14" t="s">
        <v>30</v>
      </c>
      <c r="C9" s="16">
        <f>NPV(C8,CashFlow)</f>
        <v>18.782094117731226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B8"/>
  <sheetViews>
    <sheetView tabSelected="1" workbookViewId="0"/>
  </sheetViews>
  <sheetFormatPr defaultRowHeight="15" x14ac:dyDescent="0.25"/>
  <cols>
    <col min="2" max="2" width="15.140625" bestFit="1" customWidth="1"/>
  </cols>
  <sheetData>
    <row r="2" spans="2:2" x14ac:dyDescent="0.25">
      <c r="B2" t="s">
        <v>32</v>
      </c>
    </row>
    <row r="3" spans="2:2" x14ac:dyDescent="0.25">
      <c r="B3" t="s">
        <v>33</v>
      </c>
    </row>
    <row r="4" spans="2:2" x14ac:dyDescent="0.25">
      <c r="B4" t="s">
        <v>34</v>
      </c>
    </row>
    <row r="5" spans="2:2" x14ac:dyDescent="0.25">
      <c r="B5" t="s">
        <v>35</v>
      </c>
    </row>
    <row r="6" spans="2:2" x14ac:dyDescent="0.25">
      <c r="B6" t="s">
        <v>36</v>
      </c>
    </row>
    <row r="7" spans="2:2" x14ac:dyDescent="0.25">
      <c r="B7" t="s">
        <v>37</v>
      </c>
    </row>
    <row r="8" spans="2:2" x14ac:dyDescent="0.25">
      <c r="B8" t="s">
        <v>38</v>
      </c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velExpenses">
                <anchor moveWithCells="1" sizeWithCells="1">
                  <from>
                    <xdr:col>4</xdr:col>
                    <xdr:colOff>0</xdr:colOff>
                    <xdr:row>1</xdr:row>
                    <xdr:rowOff>190500</xdr:rowOff>
                  </from>
                  <to>
                    <xdr:col>6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Cells">
                <anchor moveWithCells="1" sizeWithCells="1">
                  <from>
                    <xdr:col>7</xdr:col>
                    <xdr:colOff>9525</xdr:colOff>
                    <xdr:row>1</xdr:row>
                    <xdr:rowOff>180975</xdr:rowOff>
                  </from>
                  <to>
                    <xdr:col>9</xdr:col>
                    <xdr:colOff>9525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Used_x0020_in_x0020_Chapter xmlns="d1607db4-bd3f-4f82-a312-bf7e283d0a6b">true</Used_x0020_in_x0020_Chapter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8E4BBD310ADB419B3C5F1ACE4D113D" ma:contentTypeVersion="1" ma:contentTypeDescription="Create a new document." ma:contentTypeScope="" ma:versionID="63e1bd94a874076348984a0131457edc">
  <xsd:schema xmlns:xsd="http://www.w3.org/2001/XMLSchema" xmlns:p="http://schemas.microsoft.com/office/2006/metadata/properties" xmlns:ns2="d1607db4-bd3f-4f82-a312-bf7e283d0a6b" targetNamespace="http://schemas.microsoft.com/office/2006/metadata/properties" ma:root="true" ma:fieldsID="7c9989741aedae2f07a76d9f40ef2a18" ns2:_="">
    <xsd:import namespace="d1607db4-bd3f-4f82-a312-bf7e283d0a6b"/>
    <xsd:element name="properties">
      <xsd:complexType>
        <xsd:sequence>
          <xsd:element name="documentManagement">
            <xsd:complexType>
              <xsd:all>
                <xsd:element ref="ns2:Used_x0020_in_x0020_Chapt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d1607db4-bd3f-4f82-a312-bf7e283d0a6b" elementFormDefault="qualified">
    <xsd:import namespace="http://schemas.microsoft.com/office/2006/documentManagement/types"/>
    <xsd:element name="Used_x0020_in_x0020_Chapter" ma:index="8" nillable="true" ma:displayName="Used in Chapter" ma:default="1" ma:internalName="Used_x0020_in_x0020_Chapter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CDC4C125-9E98-4CD7-BD97-74B6B67779E8}">
  <ds:schemaRefs>
    <ds:schemaRef ds:uri="d1607db4-bd3f-4f82-a312-bf7e283d0a6b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45AE0F-BD70-426F-AE85-2ADC2419E0E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CE02B71-CC42-4BD1-BD9C-BCE04927AA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1607db4-bd3f-4f82-a312-bf7e283d0a6b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Documentation</vt:lpstr>
      <vt:lpstr>HW4 Q1</vt:lpstr>
      <vt:lpstr>HW4 Q2</vt:lpstr>
      <vt:lpstr>HW4 Q3</vt:lpstr>
      <vt:lpstr>Travel Expenses</vt:lpstr>
      <vt:lpstr>CashFlow</vt:lpstr>
      <vt:lpstr>Years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 T42</dc:creator>
  <cp:lastModifiedBy>Nick Petty</cp:lastModifiedBy>
  <dcterms:created xsi:type="dcterms:W3CDTF">2006-12-22T18:28:35Z</dcterms:created>
  <dcterms:modified xsi:type="dcterms:W3CDTF">2016-06-09T01:40:24Z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0x010100AF8E4BBD310ADB419B3C5F1ACE4D113D</vt:lpwstr>
  </property>
</Properties>
</file>